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ys\asimptotika\cmake-build-debug\"/>
    </mc:Choice>
  </mc:AlternateContent>
  <xr:revisionPtr revIDLastSave="0" documentId="13_ncr:1_{EAA97891-6900-41E0-87F4-153FC7F978DD}" xr6:coauthVersionLast="47" xr6:coauthVersionMax="47" xr10:uidLastSave="{00000000-0000-0000-0000-000000000000}"/>
  <bookViews>
    <workbookView xWindow="-120" yWindow="-120" windowWidth="29040" windowHeight="15840" xr2:uid="{6E47B47D-6FF9-4A0E-8CD7-FD87599E0E70}"/>
  </bookViews>
  <sheets>
    <sheet name="lab3_results" sheetId="1" r:id="rId1"/>
    <sheet name="Лист1" sheetId="3" state="hidden" r:id="rId2"/>
  </sheets>
  <calcPr calcId="191029"/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</calcChain>
</file>

<file path=xl/sharedStrings.xml><?xml version="1.0" encoding="utf-8"?>
<sst xmlns="http://schemas.openxmlformats.org/spreadsheetml/2006/main" count="35" uniqueCount="20">
  <si>
    <t>Размер N</t>
  </si>
  <si>
    <t>Построение 1D Префиксных Сумм</t>
  </si>
  <si>
    <t>Запрос 1D Префиксных Сумм</t>
  </si>
  <si>
    <t>Построение 2D Префиксных Сумм</t>
  </si>
  <si>
    <t>Запрос 2D Префиксных Сумм</t>
  </si>
  <si>
    <t>Построение Предпросчета RMQ</t>
  </si>
  <si>
    <t>Запрос Предпросчета RMQ</t>
  </si>
  <si>
    <t>Построение Корневой Декомпозиции RSQ</t>
  </si>
  <si>
    <t>Запрос Корневой Декомпозиции RSQ</t>
  </si>
  <si>
    <t>Построение Корневой Декомпозиции RMQ</t>
  </si>
  <si>
    <t>Запрос Корневой Декомпозиции RMQ</t>
  </si>
  <si>
    <t>Построение Дерева Отрезков</t>
  </si>
  <si>
    <t>Запрос Дерева Отрезков</t>
  </si>
  <si>
    <t>Обновление Дерева Отрезков</t>
  </si>
  <si>
    <t>Ожидаемая сложность</t>
  </si>
  <si>
    <t>O(N)</t>
  </si>
  <si>
    <t>O(1)</t>
  </si>
  <si>
    <t>O(N^2)</t>
  </si>
  <si>
    <t>O(sqrt(N))</t>
  </si>
  <si>
    <t>O(logN)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</si>
</sst>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horizontal="right" wrapText="1"/>
    </xf>
    <xf numFmtId="0" fontId="0" fillId="34" borderId="12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0" fillId="34" borderId="0" xfId="0" applyFill="1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right" wrapText="1"/>
    </xf>
    <xf numFmtId="2" fontId="0" fillId="33" borderId="10" xfId="0" applyNumberFormat="1" applyFill="1" applyBorder="1" applyAlignment="1">
      <alignment horizontal="righ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Ось Х обычная, ось </a:t>
            </a:r>
            <a:r>
              <a:rPr lang="en-US"/>
              <a:t>Y</a:t>
            </a:r>
            <a:r>
              <a:rPr lang="en-US" baseline="0"/>
              <a:t> </a:t>
            </a:r>
            <a:r>
              <a:rPr lang="ru-RU" baseline="0"/>
              <a:t>логарифмическая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6971496985864015E-2"/>
          <c:y val="7.4557760216723709E-2"/>
          <c:w val="0.94079169904849924"/>
          <c:h val="0.800302131391459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lab3_results!$C$1</c:f>
              <c:strCache>
                <c:ptCount val="1"/>
                <c:pt idx="0">
                  <c:v>Запрос 1D Префиксных Сумм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lab3_results!$C$3:$C$22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3-4D1D-B8B8-E8F2AD4638C6}"/>
            </c:ext>
          </c:extLst>
        </c:ser>
        <c:ser>
          <c:idx val="1"/>
          <c:order val="1"/>
          <c:tx>
            <c:strRef>
              <c:f>lab3_results!$D$1</c:f>
              <c:strCache>
                <c:ptCount val="1"/>
                <c:pt idx="0">
                  <c:v>Построение 2D Префиксных Сумм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2"/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lab3_results!$D$3:$D$22</c:f>
              <c:numCache>
                <c:formatCode>General</c:formatCode>
                <c:ptCount val="20"/>
                <c:pt idx="0">
                  <c:v>100</c:v>
                </c:pt>
                <c:pt idx="1">
                  <c:v>400</c:v>
                </c:pt>
                <c:pt idx="2">
                  <c:v>900</c:v>
                </c:pt>
                <c:pt idx="3">
                  <c:v>1600</c:v>
                </c:pt>
                <c:pt idx="4">
                  <c:v>2500</c:v>
                </c:pt>
                <c:pt idx="5">
                  <c:v>3600</c:v>
                </c:pt>
                <c:pt idx="6">
                  <c:v>4900</c:v>
                </c:pt>
                <c:pt idx="7">
                  <c:v>6400</c:v>
                </c:pt>
                <c:pt idx="8">
                  <c:v>8100</c:v>
                </c:pt>
                <c:pt idx="9">
                  <c:v>10000</c:v>
                </c:pt>
                <c:pt idx="10">
                  <c:v>12100</c:v>
                </c:pt>
                <c:pt idx="11">
                  <c:v>14400</c:v>
                </c:pt>
                <c:pt idx="12">
                  <c:v>16900</c:v>
                </c:pt>
                <c:pt idx="13">
                  <c:v>19600</c:v>
                </c:pt>
                <c:pt idx="14">
                  <c:v>22500</c:v>
                </c:pt>
                <c:pt idx="15">
                  <c:v>25600</c:v>
                </c:pt>
                <c:pt idx="16">
                  <c:v>28900</c:v>
                </c:pt>
                <c:pt idx="17">
                  <c:v>32400</c:v>
                </c:pt>
                <c:pt idx="18">
                  <c:v>36100</c:v>
                </c:pt>
                <c:pt idx="19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3-4D1D-B8B8-E8F2AD4638C6}"/>
            </c:ext>
          </c:extLst>
        </c:ser>
        <c:ser>
          <c:idx val="2"/>
          <c:order val="2"/>
          <c:tx>
            <c:strRef>
              <c:f>lab3_results!$E$1</c:f>
              <c:strCache>
                <c:ptCount val="1"/>
                <c:pt idx="0">
                  <c:v>Запрос 2D Префиксных Сумм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lab3_results!$E$3:$E$22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3-4D1D-B8B8-E8F2AD4638C6}"/>
            </c:ext>
          </c:extLst>
        </c:ser>
        <c:ser>
          <c:idx val="3"/>
          <c:order val="3"/>
          <c:tx>
            <c:strRef>
              <c:f>lab3_results!$F$1</c:f>
              <c:strCache>
                <c:ptCount val="1"/>
                <c:pt idx="0">
                  <c:v>Построение Предпросчета RMQ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lab3_results!$F$3:$F$22</c:f>
              <c:numCache>
                <c:formatCode>General</c:formatCode>
                <c:ptCount val="20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  <c:pt idx="4">
                  <c:v>1225</c:v>
                </c:pt>
                <c:pt idx="5">
                  <c:v>1770</c:v>
                </c:pt>
                <c:pt idx="6">
                  <c:v>2415</c:v>
                </c:pt>
                <c:pt idx="7">
                  <c:v>3160</c:v>
                </c:pt>
                <c:pt idx="8">
                  <c:v>4005</c:v>
                </c:pt>
                <c:pt idx="9">
                  <c:v>4950</c:v>
                </c:pt>
                <c:pt idx="10">
                  <c:v>5995</c:v>
                </c:pt>
                <c:pt idx="11">
                  <c:v>7140</c:v>
                </c:pt>
                <c:pt idx="12">
                  <c:v>8385</c:v>
                </c:pt>
                <c:pt idx="13">
                  <c:v>9730</c:v>
                </c:pt>
                <c:pt idx="14">
                  <c:v>11175</c:v>
                </c:pt>
                <c:pt idx="15">
                  <c:v>12720</c:v>
                </c:pt>
                <c:pt idx="16">
                  <c:v>14365</c:v>
                </c:pt>
                <c:pt idx="17">
                  <c:v>16110</c:v>
                </c:pt>
                <c:pt idx="18">
                  <c:v>17955</c:v>
                </c:pt>
                <c:pt idx="19">
                  <c:v>19900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3-4D1D-B8B8-E8F2AD4638C6}"/>
            </c:ext>
          </c:extLst>
        </c:ser>
        <c:ser>
          <c:idx val="4"/>
          <c:order val="4"/>
          <c:tx>
            <c:strRef>
              <c:f>lab3_results!$G$1</c:f>
              <c:strCache>
                <c:ptCount val="1"/>
                <c:pt idx="0">
                  <c:v>Запрос Предпросчета RMQ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lab3_results!$G$3:$G$22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23-4D1D-B8B8-E8F2AD4638C6}"/>
            </c:ext>
          </c:extLst>
        </c:ser>
        <c:ser>
          <c:idx val="5"/>
          <c:order val="5"/>
          <c:tx>
            <c:strRef>
              <c:f>lab3_results!$H$1</c:f>
              <c:strCache>
                <c:ptCount val="1"/>
                <c:pt idx="0">
                  <c:v>Построение Корневой Декомпозиции RSQ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28575">
                <a:solidFill>
                  <a:schemeClr val="accent6"/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lab3_results!$H$3:$H$22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23-4D1D-B8B8-E8F2AD4638C6}"/>
            </c:ext>
          </c:extLst>
        </c:ser>
        <c:ser>
          <c:idx val="6"/>
          <c:order val="6"/>
          <c:tx>
            <c:strRef>
              <c:f>lab3_results!$I$1</c:f>
              <c:strCache>
                <c:ptCount val="1"/>
                <c:pt idx="0">
                  <c:v>Запрос Корневой Декомпозиции RSQ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lab3_results!$I$3:$I$22</c:f>
              <c:numCache>
                <c:formatCode>General</c:formatCode>
                <c:ptCount val="20"/>
                <c:pt idx="0">
                  <c:v>2.5826669999999998</c:v>
                </c:pt>
                <c:pt idx="1">
                  <c:v>3.9613330000000002</c:v>
                </c:pt>
                <c:pt idx="2">
                  <c:v>5.169333</c:v>
                </c:pt>
                <c:pt idx="3">
                  <c:v>6.2306670000000004</c:v>
                </c:pt>
                <c:pt idx="4">
                  <c:v>7.1833330000000002</c:v>
                </c:pt>
                <c:pt idx="5">
                  <c:v>7.7713330000000003</c:v>
                </c:pt>
                <c:pt idx="6">
                  <c:v>8.9946669999999997</c:v>
                </c:pt>
                <c:pt idx="7">
                  <c:v>9.4406669999999995</c:v>
                </c:pt>
                <c:pt idx="8">
                  <c:v>10.25</c:v>
                </c:pt>
                <c:pt idx="9">
                  <c:v>11.159333</c:v>
                </c:pt>
                <c:pt idx="10">
                  <c:v>11.273332999999999</c:v>
                </c:pt>
                <c:pt idx="11">
                  <c:v>11.762</c:v>
                </c:pt>
                <c:pt idx="12">
                  <c:v>12.455333</c:v>
                </c:pt>
                <c:pt idx="13">
                  <c:v>12.843332999999999</c:v>
                </c:pt>
                <c:pt idx="14">
                  <c:v>13.647333</c:v>
                </c:pt>
                <c:pt idx="15">
                  <c:v>13.971333</c:v>
                </c:pt>
                <c:pt idx="16">
                  <c:v>14.868667</c:v>
                </c:pt>
                <c:pt idx="17">
                  <c:v>15.447333</c:v>
                </c:pt>
                <c:pt idx="18">
                  <c:v>15.185333</c:v>
                </c:pt>
                <c:pt idx="19">
                  <c:v>16.324667000000002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23-4D1D-B8B8-E8F2AD4638C6}"/>
            </c:ext>
          </c:extLst>
        </c:ser>
        <c:ser>
          <c:idx val="7"/>
          <c:order val="7"/>
          <c:tx>
            <c:strRef>
              <c:f>lab3_results!$J$1</c:f>
              <c:strCache>
                <c:ptCount val="1"/>
                <c:pt idx="0">
                  <c:v>Построение Корневой Декомпозиции RMQ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2857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lab3_results!$J$3:$J$22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D23-4D1D-B8B8-E8F2AD4638C6}"/>
            </c:ext>
          </c:extLst>
        </c:ser>
        <c:ser>
          <c:idx val="8"/>
          <c:order val="8"/>
          <c:tx>
            <c:strRef>
              <c:f>lab3_results!$K$1</c:f>
              <c:strCache>
                <c:ptCount val="1"/>
                <c:pt idx="0">
                  <c:v>Запрос Корневой Декомпозиции RMQ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lab3_results!$K$3:$K$22</c:f>
              <c:numCache>
                <c:formatCode>General</c:formatCode>
                <c:ptCount val="20"/>
                <c:pt idx="0">
                  <c:v>2.576667</c:v>
                </c:pt>
                <c:pt idx="1">
                  <c:v>3.9946670000000002</c:v>
                </c:pt>
                <c:pt idx="2">
                  <c:v>5.1539999999999999</c:v>
                </c:pt>
                <c:pt idx="3">
                  <c:v>6.2713330000000003</c:v>
                </c:pt>
                <c:pt idx="4">
                  <c:v>7.1873329999999997</c:v>
                </c:pt>
                <c:pt idx="5">
                  <c:v>7.8073329999999999</c:v>
                </c:pt>
                <c:pt idx="6">
                  <c:v>8.7433329999999998</c:v>
                </c:pt>
                <c:pt idx="7">
                  <c:v>9.4646670000000004</c:v>
                </c:pt>
                <c:pt idx="8">
                  <c:v>9.9740000000000002</c:v>
                </c:pt>
                <c:pt idx="9">
                  <c:v>11.098667000000001</c:v>
                </c:pt>
                <c:pt idx="10">
                  <c:v>11.414</c:v>
                </c:pt>
                <c:pt idx="11">
                  <c:v>11.91</c:v>
                </c:pt>
                <c:pt idx="12">
                  <c:v>12.748666999999999</c:v>
                </c:pt>
                <c:pt idx="13">
                  <c:v>13.068</c:v>
                </c:pt>
                <c:pt idx="14">
                  <c:v>13.779332999999999</c:v>
                </c:pt>
                <c:pt idx="15">
                  <c:v>14.330667</c:v>
                </c:pt>
                <c:pt idx="16">
                  <c:v>14.877333</c:v>
                </c:pt>
                <c:pt idx="17">
                  <c:v>15.462</c:v>
                </c:pt>
                <c:pt idx="18">
                  <c:v>15.44</c:v>
                </c:pt>
                <c:pt idx="19">
                  <c:v>16.194666999999999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D23-4D1D-B8B8-E8F2AD4638C6}"/>
            </c:ext>
          </c:extLst>
        </c:ser>
        <c:ser>
          <c:idx val="9"/>
          <c:order val="9"/>
          <c:tx>
            <c:strRef>
              <c:f>lab3_results!$L$1</c:f>
              <c:strCache>
                <c:ptCount val="1"/>
                <c:pt idx="0">
                  <c:v>Построение Дерева Отрезков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2857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lab3_results!$L$3:$L$22</c:f>
              <c:numCache>
                <c:formatCode>General</c:formatCode>
                <c:ptCount val="20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  <c:pt idx="4">
                  <c:v>49</c:v>
                </c:pt>
                <c:pt idx="5">
                  <c:v>59</c:v>
                </c:pt>
                <c:pt idx="6">
                  <c:v>69</c:v>
                </c:pt>
                <c:pt idx="7">
                  <c:v>79</c:v>
                </c:pt>
                <c:pt idx="8">
                  <c:v>89</c:v>
                </c:pt>
                <c:pt idx="9">
                  <c:v>99</c:v>
                </c:pt>
                <c:pt idx="10">
                  <c:v>109</c:v>
                </c:pt>
                <c:pt idx="11">
                  <c:v>119</c:v>
                </c:pt>
                <c:pt idx="12">
                  <c:v>129</c:v>
                </c:pt>
                <c:pt idx="13">
                  <c:v>139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D23-4D1D-B8B8-E8F2AD4638C6}"/>
            </c:ext>
          </c:extLst>
        </c:ser>
        <c:ser>
          <c:idx val="10"/>
          <c:order val="10"/>
          <c:tx>
            <c:strRef>
              <c:f>lab3_results!$M$1</c:f>
              <c:strCache>
                <c:ptCount val="1"/>
                <c:pt idx="0">
                  <c:v>Запрос Дерева Отрезков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ysDash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lab3_results!$M$3:$M$22</c:f>
              <c:numCache>
                <c:formatCode>General</c:formatCode>
                <c:ptCount val="20"/>
                <c:pt idx="0">
                  <c:v>3.6686670000000001</c:v>
                </c:pt>
                <c:pt idx="1">
                  <c:v>5.3313329999999999</c:v>
                </c:pt>
                <c:pt idx="2">
                  <c:v>6.242667</c:v>
                </c:pt>
                <c:pt idx="3">
                  <c:v>7.1120000000000001</c:v>
                </c:pt>
                <c:pt idx="4">
                  <c:v>7.6293329999999999</c:v>
                </c:pt>
                <c:pt idx="5">
                  <c:v>8.1513329999999993</c:v>
                </c:pt>
                <c:pt idx="6">
                  <c:v>8.4666669999999993</c:v>
                </c:pt>
                <c:pt idx="7">
                  <c:v>9.0386670000000002</c:v>
                </c:pt>
                <c:pt idx="8">
                  <c:v>9.3053329999999992</c:v>
                </c:pt>
                <c:pt idx="9">
                  <c:v>9.6373329999999999</c:v>
                </c:pt>
                <c:pt idx="10">
                  <c:v>9.81</c:v>
                </c:pt>
                <c:pt idx="11">
                  <c:v>10.012</c:v>
                </c:pt>
                <c:pt idx="12">
                  <c:v>10.197333</c:v>
                </c:pt>
                <c:pt idx="13">
                  <c:v>10.350667</c:v>
                </c:pt>
                <c:pt idx="14">
                  <c:v>10.605333</c:v>
                </c:pt>
                <c:pt idx="15">
                  <c:v>10.992000000000001</c:v>
                </c:pt>
                <c:pt idx="16">
                  <c:v>11.03</c:v>
                </c:pt>
                <c:pt idx="17">
                  <c:v>11.227333</c:v>
                </c:pt>
                <c:pt idx="18">
                  <c:v>11.472</c:v>
                </c:pt>
                <c:pt idx="19">
                  <c:v>11.465999999999999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D23-4D1D-B8B8-E8F2AD4638C6}"/>
            </c:ext>
          </c:extLst>
        </c:ser>
        <c:ser>
          <c:idx val="11"/>
          <c:order val="11"/>
          <c:tx>
            <c:strRef>
              <c:f>lab3_results!$N$1</c:f>
              <c:strCache>
                <c:ptCount val="1"/>
                <c:pt idx="0">
                  <c:v>Обновление Дерева Отрезков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lab3_results!$N$3:$N$22</c:f>
              <c:numCache>
                <c:formatCode>General</c:formatCode>
                <c:ptCount val="20"/>
                <c:pt idx="0">
                  <c:v>3.3959999999999999</c:v>
                </c:pt>
                <c:pt idx="1">
                  <c:v>4.3840000000000003</c:v>
                </c:pt>
                <c:pt idx="2">
                  <c:v>4.927333</c:v>
                </c:pt>
                <c:pt idx="3">
                  <c:v>5.3833330000000004</c:v>
                </c:pt>
                <c:pt idx="4">
                  <c:v>5.7206669999999997</c:v>
                </c:pt>
                <c:pt idx="5">
                  <c:v>5.9340000000000002</c:v>
                </c:pt>
                <c:pt idx="6">
                  <c:v>6.1746670000000003</c:v>
                </c:pt>
                <c:pt idx="7">
                  <c:v>6.4093330000000002</c:v>
                </c:pt>
                <c:pt idx="8">
                  <c:v>6.5966670000000001</c:v>
                </c:pt>
                <c:pt idx="9">
                  <c:v>6.6973330000000004</c:v>
                </c:pt>
                <c:pt idx="10">
                  <c:v>6.8246669999999998</c:v>
                </c:pt>
                <c:pt idx="11">
                  <c:v>6.9366669999999999</c:v>
                </c:pt>
                <c:pt idx="12">
                  <c:v>7.0279999999999996</c:v>
                </c:pt>
                <c:pt idx="13">
                  <c:v>7.1766670000000001</c:v>
                </c:pt>
                <c:pt idx="14">
                  <c:v>7.2793330000000003</c:v>
                </c:pt>
                <c:pt idx="15">
                  <c:v>7.3659999999999997</c:v>
                </c:pt>
                <c:pt idx="16">
                  <c:v>7.4933329999999998</c:v>
                </c:pt>
                <c:pt idx="17">
                  <c:v>7.5780000000000003</c:v>
                </c:pt>
                <c:pt idx="18">
                  <c:v>7.6833330000000002</c:v>
                </c:pt>
                <c:pt idx="19">
                  <c:v>7.7113329999999998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D23-4D1D-B8B8-E8F2AD4638C6}"/>
            </c:ext>
          </c:extLst>
        </c:ser>
        <c:ser>
          <c:idx val="12"/>
          <c:order val="12"/>
          <c:tx>
            <c:strRef>
              <c:f>lab3_results!$B$1</c:f>
              <c:strCache>
                <c:ptCount val="1"/>
                <c:pt idx="0">
                  <c:v>Построение 1D Префиксных Сумм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2857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lab3_results!$B$3:$B$22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D23-4D1D-B8B8-E8F2AD463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86880"/>
        <c:axId val="422889400"/>
      </c:scatterChart>
      <c:valAx>
        <c:axId val="42288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889400"/>
        <c:crosses val="autoZero"/>
        <c:crossBetween val="midCat"/>
      </c:valAx>
      <c:valAx>
        <c:axId val="422889400"/>
        <c:scaling>
          <c:logBase val="10"/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886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851887563105418"/>
          <c:y val="8.6115864546725221E-2"/>
          <c:w val="0.17150209102645933"/>
          <c:h val="0.81220227439442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Как</a:t>
            </a:r>
            <a:r>
              <a:rPr lang="ru-RU" baseline="0"/>
              <a:t> должно выглядеть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O(1)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0"/>
              <c:layout>
                <c:manualLayout>
                  <c:x val="-1.5329563244832201E-2"/>
                  <c:y val="-1.1137804162907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/>
                      <a:t>O(1)</a:t>
                    </a:r>
                  </a:p>
                  <a:p>
                    <a:pPr>
                      <a:defRPr/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56572592806681E-2"/>
                      <c:h val="5.19021673991502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E6DB-4BCE-AB72-074D4CFE4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DB-4BCE-AB72-074D4CFE4F4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O(logN)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O(logN)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967484889301473E-2"/>
                      <c:h val="5.44144584483898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E6DB-4BCE-AB72-074D4CFE4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Лист1!$C$2:$C$22</c:f>
              <c:numCache>
                <c:formatCode>0.00</c:formatCode>
                <c:ptCount val="21"/>
                <c:pt idx="1">
                  <c:v>3.3219280948873626</c:v>
                </c:pt>
                <c:pt idx="2">
                  <c:v>4.3219280948873626</c:v>
                </c:pt>
                <c:pt idx="3">
                  <c:v>4.9068905956085187</c:v>
                </c:pt>
                <c:pt idx="4">
                  <c:v>5.3219280948873626</c:v>
                </c:pt>
                <c:pt idx="5">
                  <c:v>5.6438561897747244</c:v>
                </c:pt>
                <c:pt idx="6">
                  <c:v>5.9068905956085187</c:v>
                </c:pt>
                <c:pt idx="7">
                  <c:v>6.1292830169449672</c:v>
                </c:pt>
                <c:pt idx="8">
                  <c:v>6.3219280948873617</c:v>
                </c:pt>
                <c:pt idx="9">
                  <c:v>6.4918530963296748</c:v>
                </c:pt>
                <c:pt idx="10">
                  <c:v>6.6438561897747253</c:v>
                </c:pt>
                <c:pt idx="11">
                  <c:v>6.7813597135246599</c:v>
                </c:pt>
                <c:pt idx="12">
                  <c:v>6.9068905956085187</c:v>
                </c:pt>
                <c:pt idx="13">
                  <c:v>7.0223678130284544</c:v>
                </c:pt>
                <c:pt idx="14">
                  <c:v>7.1292830169449664</c:v>
                </c:pt>
                <c:pt idx="15">
                  <c:v>7.2288186904958804</c:v>
                </c:pt>
                <c:pt idx="16">
                  <c:v>7.3219280948873617</c:v>
                </c:pt>
                <c:pt idx="17">
                  <c:v>7.4093909361377026</c:v>
                </c:pt>
                <c:pt idx="18">
                  <c:v>7.4918530963296748</c:v>
                </c:pt>
                <c:pt idx="19">
                  <c:v>7.5698556083309478</c:v>
                </c:pt>
                <c:pt idx="20">
                  <c:v>7.6438561897747244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DB-4BCE-AB72-074D4CFE4F49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O(sqrt(N))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O(sqrt(N))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69654478970866E-2"/>
                      <c:h val="5.93645936319044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4-E6DB-4BCE-AB72-074D4CFE4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Лист1!$D$2:$D$22</c:f>
              <c:numCache>
                <c:formatCode>0.00</c:formatCode>
                <c:ptCount val="21"/>
                <c:pt idx="1">
                  <c:v>3.1622776601683795</c:v>
                </c:pt>
                <c:pt idx="2">
                  <c:v>4.4721359549995796</c:v>
                </c:pt>
                <c:pt idx="3">
                  <c:v>5.4772255750516612</c:v>
                </c:pt>
                <c:pt idx="4">
                  <c:v>6.324555320336759</c:v>
                </c:pt>
                <c:pt idx="5">
                  <c:v>7.0710678118654755</c:v>
                </c:pt>
                <c:pt idx="6">
                  <c:v>7.745966692414834</c:v>
                </c:pt>
                <c:pt idx="7">
                  <c:v>8.3666002653407556</c:v>
                </c:pt>
                <c:pt idx="8">
                  <c:v>8.9442719099991592</c:v>
                </c:pt>
                <c:pt idx="9">
                  <c:v>9.4868329805051381</c:v>
                </c:pt>
                <c:pt idx="10">
                  <c:v>10</c:v>
                </c:pt>
                <c:pt idx="11">
                  <c:v>10.488088481701515</c:v>
                </c:pt>
                <c:pt idx="12">
                  <c:v>10.954451150103322</c:v>
                </c:pt>
                <c:pt idx="13">
                  <c:v>11.401754250991379</c:v>
                </c:pt>
                <c:pt idx="14">
                  <c:v>11.832159566199232</c:v>
                </c:pt>
                <c:pt idx="15">
                  <c:v>12.24744871391589</c:v>
                </c:pt>
                <c:pt idx="16">
                  <c:v>12.649110640673518</c:v>
                </c:pt>
                <c:pt idx="17">
                  <c:v>13.038404810405298</c:v>
                </c:pt>
                <c:pt idx="18">
                  <c:v>13.416407864998739</c:v>
                </c:pt>
                <c:pt idx="19">
                  <c:v>13.784048752090222</c:v>
                </c:pt>
                <c:pt idx="20">
                  <c:v>14.142135623730951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DB-4BCE-AB72-074D4CFE4F49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O(N)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O(N)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920978880468076E-2"/>
                      <c:h val="5.44144584483898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E6DB-4BCE-AB72-074D4CFE4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Лист1!$E$2:$E$22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DB-4BCE-AB72-074D4CFE4F49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O(N^2)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O(N^2)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947503405124443E-2"/>
                      <c:h val="5.93645936319044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E6DB-4BCE-AB72-074D4CFE4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Лист1!$F$2:$F$22</c:f>
              <c:numCache>
                <c:formatCode>General</c:formatCode>
                <c:ptCount val="21"/>
                <c:pt idx="1">
                  <c:v>100</c:v>
                </c:pt>
                <c:pt idx="2">
                  <c:v>400</c:v>
                </c:pt>
                <c:pt idx="3">
                  <c:v>900</c:v>
                </c:pt>
                <c:pt idx="4">
                  <c:v>1600</c:v>
                </c:pt>
                <c:pt idx="5">
                  <c:v>2500</c:v>
                </c:pt>
                <c:pt idx="6">
                  <c:v>3600</c:v>
                </c:pt>
                <c:pt idx="7">
                  <c:v>4900</c:v>
                </c:pt>
                <c:pt idx="8">
                  <c:v>6400</c:v>
                </c:pt>
                <c:pt idx="9">
                  <c:v>8100</c:v>
                </c:pt>
                <c:pt idx="10">
                  <c:v>10000</c:v>
                </c:pt>
                <c:pt idx="11">
                  <c:v>12100</c:v>
                </c:pt>
                <c:pt idx="12">
                  <c:v>14400</c:v>
                </c:pt>
                <c:pt idx="13">
                  <c:v>16900</c:v>
                </c:pt>
                <c:pt idx="14">
                  <c:v>19600</c:v>
                </c:pt>
                <c:pt idx="15">
                  <c:v>22500</c:v>
                </c:pt>
                <c:pt idx="16">
                  <c:v>25600</c:v>
                </c:pt>
                <c:pt idx="17">
                  <c:v>28900</c:v>
                </c:pt>
                <c:pt idx="18">
                  <c:v>32400</c:v>
                </c:pt>
                <c:pt idx="19">
                  <c:v>36100</c:v>
                </c:pt>
                <c:pt idx="2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DB-4BCE-AB72-074D4CFE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04192"/>
        <c:axId val="352302392"/>
      </c:scatterChart>
      <c:valAx>
        <c:axId val="3523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02392"/>
        <c:crosses val="autoZero"/>
        <c:crossBetween val="midCat"/>
      </c:valAx>
      <c:valAx>
        <c:axId val="352302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Как</a:t>
            </a:r>
            <a:r>
              <a:rPr lang="ru-RU" baseline="0"/>
              <a:t> должно выглядеть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O(1)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0"/>
              <c:layout>
                <c:manualLayout>
                  <c:x val="-1.5329563244832201E-2"/>
                  <c:y val="-1.1137804162907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/>
                      <a:t>O(1)</a:t>
                    </a:r>
                  </a:p>
                  <a:p>
                    <a:pPr>
                      <a:defRPr/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56572592806681E-2"/>
                      <c:h val="5.19021673991502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6A7D-4CBE-8CF1-FB209C4C1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Лист1!$B$2:$B$22</c:f>
              <c:numCache>
                <c:formatCode>General</c:formatCode>
                <c:ptCount val="2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7D-4CBE-8CF1-FB209C4C15BC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O(logN)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O(logN)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967484889301473E-2"/>
                      <c:h val="5.44144584483898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6A7D-4CBE-8CF1-FB209C4C1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Лист1!$C$2:$C$22</c:f>
              <c:numCache>
                <c:formatCode>0.00</c:formatCode>
                <c:ptCount val="21"/>
                <c:pt idx="1">
                  <c:v>3.3219280948873626</c:v>
                </c:pt>
                <c:pt idx="2">
                  <c:v>4.3219280948873626</c:v>
                </c:pt>
                <c:pt idx="3">
                  <c:v>4.9068905956085187</c:v>
                </c:pt>
                <c:pt idx="4">
                  <c:v>5.3219280948873626</c:v>
                </c:pt>
                <c:pt idx="5">
                  <c:v>5.6438561897747244</c:v>
                </c:pt>
                <c:pt idx="6">
                  <c:v>5.9068905956085187</c:v>
                </c:pt>
                <c:pt idx="7">
                  <c:v>6.1292830169449672</c:v>
                </c:pt>
                <c:pt idx="8">
                  <c:v>6.3219280948873617</c:v>
                </c:pt>
                <c:pt idx="9">
                  <c:v>6.4918530963296748</c:v>
                </c:pt>
                <c:pt idx="10">
                  <c:v>6.6438561897747253</c:v>
                </c:pt>
                <c:pt idx="11">
                  <c:v>6.7813597135246599</c:v>
                </c:pt>
                <c:pt idx="12">
                  <c:v>6.9068905956085187</c:v>
                </c:pt>
                <c:pt idx="13">
                  <c:v>7.0223678130284544</c:v>
                </c:pt>
                <c:pt idx="14">
                  <c:v>7.1292830169449664</c:v>
                </c:pt>
                <c:pt idx="15">
                  <c:v>7.2288186904958804</c:v>
                </c:pt>
                <c:pt idx="16">
                  <c:v>7.3219280948873617</c:v>
                </c:pt>
                <c:pt idx="17">
                  <c:v>7.4093909361377026</c:v>
                </c:pt>
                <c:pt idx="18">
                  <c:v>7.4918530963296748</c:v>
                </c:pt>
                <c:pt idx="19">
                  <c:v>7.5698556083309478</c:v>
                </c:pt>
                <c:pt idx="20">
                  <c:v>7.6438561897747244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7D-4CBE-8CF1-FB209C4C15BC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O(sqrt(N))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O(sqrt(N))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69654478970866E-2"/>
                      <c:h val="5.93645936319044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6A7D-4CBE-8CF1-FB209C4C1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Лист1!$D$2:$D$22</c:f>
              <c:numCache>
                <c:formatCode>0.00</c:formatCode>
                <c:ptCount val="21"/>
                <c:pt idx="1">
                  <c:v>3.1622776601683795</c:v>
                </c:pt>
                <c:pt idx="2">
                  <c:v>4.4721359549995796</c:v>
                </c:pt>
                <c:pt idx="3">
                  <c:v>5.4772255750516612</c:v>
                </c:pt>
                <c:pt idx="4">
                  <c:v>6.324555320336759</c:v>
                </c:pt>
                <c:pt idx="5">
                  <c:v>7.0710678118654755</c:v>
                </c:pt>
                <c:pt idx="6">
                  <c:v>7.745966692414834</c:v>
                </c:pt>
                <c:pt idx="7">
                  <c:v>8.3666002653407556</c:v>
                </c:pt>
                <c:pt idx="8">
                  <c:v>8.9442719099991592</c:v>
                </c:pt>
                <c:pt idx="9">
                  <c:v>9.4868329805051381</c:v>
                </c:pt>
                <c:pt idx="10">
                  <c:v>10</c:v>
                </c:pt>
                <c:pt idx="11">
                  <c:v>10.488088481701515</c:v>
                </c:pt>
                <c:pt idx="12">
                  <c:v>10.954451150103322</c:v>
                </c:pt>
                <c:pt idx="13">
                  <c:v>11.401754250991379</c:v>
                </c:pt>
                <c:pt idx="14">
                  <c:v>11.832159566199232</c:v>
                </c:pt>
                <c:pt idx="15">
                  <c:v>12.24744871391589</c:v>
                </c:pt>
                <c:pt idx="16">
                  <c:v>12.649110640673518</c:v>
                </c:pt>
                <c:pt idx="17">
                  <c:v>13.038404810405298</c:v>
                </c:pt>
                <c:pt idx="18">
                  <c:v>13.416407864998739</c:v>
                </c:pt>
                <c:pt idx="19">
                  <c:v>13.784048752090222</c:v>
                </c:pt>
                <c:pt idx="20">
                  <c:v>14.142135623730951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7D-4CBE-8CF1-FB209C4C15BC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O(N)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O(N)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920978880468076E-2"/>
                      <c:h val="5.441445844838985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6A7D-4CBE-8CF1-FB209C4C1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Лист1!$E$2:$E$22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7D-4CBE-8CF1-FB209C4C15BC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O(N^2)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/>
                      <a:t>O(N^2)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947503405124443E-2"/>
                      <c:h val="5.93645936319044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6A7D-4CBE-8CF1-FB209C4C1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Лист1!$A$2:$A$22</c:f>
              <c:numCache>
                <c:formatCode>General</c:formatCode>
                <c:ptCount val="2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Лист1!$F$2:$F$22</c:f>
              <c:numCache>
                <c:formatCode>General</c:formatCode>
                <c:ptCount val="21"/>
                <c:pt idx="1">
                  <c:v>100</c:v>
                </c:pt>
                <c:pt idx="2">
                  <c:v>400</c:v>
                </c:pt>
                <c:pt idx="3">
                  <c:v>900</c:v>
                </c:pt>
                <c:pt idx="4">
                  <c:v>1600</c:v>
                </c:pt>
                <c:pt idx="5">
                  <c:v>2500</c:v>
                </c:pt>
                <c:pt idx="6">
                  <c:v>3600</c:v>
                </c:pt>
                <c:pt idx="7">
                  <c:v>4900</c:v>
                </c:pt>
                <c:pt idx="8">
                  <c:v>6400</c:v>
                </c:pt>
                <c:pt idx="9">
                  <c:v>8100</c:v>
                </c:pt>
                <c:pt idx="10">
                  <c:v>10000</c:v>
                </c:pt>
                <c:pt idx="11">
                  <c:v>12100</c:v>
                </c:pt>
                <c:pt idx="12">
                  <c:v>14400</c:v>
                </c:pt>
                <c:pt idx="13">
                  <c:v>16900</c:v>
                </c:pt>
                <c:pt idx="14">
                  <c:v>19600</c:v>
                </c:pt>
                <c:pt idx="15">
                  <c:v>22500</c:v>
                </c:pt>
                <c:pt idx="16">
                  <c:v>25600</c:v>
                </c:pt>
                <c:pt idx="17">
                  <c:v>28900</c:v>
                </c:pt>
                <c:pt idx="18">
                  <c:v>32400</c:v>
                </c:pt>
                <c:pt idx="19">
                  <c:v>36100</c:v>
                </c:pt>
                <c:pt idx="2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7D-4CBE-8CF1-FB209C4C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04192"/>
        <c:axId val="352302392"/>
      </c:scatterChart>
      <c:valAx>
        <c:axId val="35230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02392"/>
        <c:crosses val="autoZero"/>
        <c:crossBetween val="midCat"/>
      </c:valAx>
      <c:valAx>
        <c:axId val="352302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30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40821</xdr:rowOff>
    </xdr:from>
    <xdr:to>
      <xdr:col>12</xdr:col>
      <xdr:colOff>927833</xdr:colOff>
      <xdr:row>66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8DE8C26-0D1D-16C6-F53A-3715AFA2F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1061356</xdr:colOff>
      <xdr:row>23</xdr:row>
      <xdr:rowOff>103909</xdr:rowOff>
    </xdr:from>
    <xdr:to>
      <xdr:col>36</xdr:col>
      <xdr:colOff>484908</xdr:colOff>
      <xdr:row>66</xdr:row>
      <xdr:rowOff>34637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EE36E6D-1E26-44F1-8ECE-70B1C0182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106455</xdr:colOff>
      <xdr:row>2</xdr:row>
      <xdr:rowOff>134470</xdr:rowOff>
    </xdr:from>
    <xdr:to>
      <xdr:col>17</xdr:col>
      <xdr:colOff>425824</xdr:colOff>
      <xdr:row>28</xdr:row>
      <xdr:rowOff>122143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B8942FA-EEB3-A9FC-ECFC-66DD918AB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2DC2-4B25-4A2D-B13B-6CE0AF13F1DA}">
  <dimension ref="A1:BC294"/>
  <sheetViews>
    <sheetView tabSelected="1" zoomScale="55" zoomScaleNormal="55" workbookViewId="0">
      <pane ySplit="1" topLeftCell="A2" activePane="bottomLeft" state="frozen"/>
      <selection pane="bottomLeft" activeCell="R1" sqref="R1"/>
    </sheetView>
  </sheetViews>
  <sheetFormatPr defaultRowHeight="15" x14ac:dyDescent="0.25"/>
  <cols>
    <col min="1" max="1" width="22.140625" bestFit="1" customWidth="1"/>
    <col min="2" max="2" width="19.5703125" customWidth="1"/>
    <col min="3" max="4" width="19.85546875" bestFit="1" customWidth="1"/>
    <col min="5" max="5" width="13.85546875" bestFit="1" customWidth="1"/>
    <col min="6" max="7" width="21" bestFit="1" customWidth="1"/>
    <col min="8" max="8" width="23.7109375" bestFit="1" customWidth="1"/>
    <col min="9" max="9" width="21.140625" bestFit="1" customWidth="1"/>
    <col min="10" max="10" width="23.7109375" bestFit="1" customWidth="1"/>
    <col min="11" max="11" width="22.28515625" bestFit="1" customWidth="1"/>
    <col min="12" max="12" width="18.5703125" bestFit="1" customWidth="1"/>
    <col min="13" max="13" width="16.140625" bestFit="1" customWidth="1"/>
    <col min="14" max="14" width="18.5703125" bestFit="1" customWidth="1"/>
  </cols>
  <sheetData>
    <row r="1" spans="1:55" ht="47.2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pans="1:55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1">
        <v>10</v>
      </c>
      <c r="B3" s="1">
        <v>10</v>
      </c>
      <c r="C3" s="1">
        <v>1</v>
      </c>
      <c r="D3" s="1">
        <v>100</v>
      </c>
      <c r="E3" s="1">
        <v>1</v>
      </c>
      <c r="F3" s="1">
        <v>45</v>
      </c>
      <c r="G3" s="1">
        <v>1</v>
      </c>
      <c r="H3" s="1">
        <v>10</v>
      </c>
      <c r="I3" s="1">
        <v>2.5826669999999998</v>
      </c>
      <c r="J3" s="1">
        <v>10</v>
      </c>
      <c r="K3" s="1">
        <v>2.576667</v>
      </c>
      <c r="L3" s="1">
        <v>9</v>
      </c>
      <c r="M3" s="1">
        <v>3.6686670000000001</v>
      </c>
      <c r="N3" s="1">
        <v>3.3959999999999999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25">
      <c r="A4" s="1">
        <v>20</v>
      </c>
      <c r="B4" s="1">
        <v>20</v>
      </c>
      <c r="C4" s="1">
        <v>1</v>
      </c>
      <c r="D4" s="1">
        <v>400</v>
      </c>
      <c r="E4" s="1">
        <v>1</v>
      </c>
      <c r="F4" s="1">
        <v>190</v>
      </c>
      <c r="G4" s="1">
        <v>1</v>
      </c>
      <c r="H4" s="1">
        <v>20</v>
      </c>
      <c r="I4" s="1">
        <v>3.9613330000000002</v>
      </c>
      <c r="J4" s="1">
        <v>20</v>
      </c>
      <c r="K4" s="1">
        <v>3.9946670000000002</v>
      </c>
      <c r="L4" s="1">
        <v>19</v>
      </c>
      <c r="M4" s="1">
        <v>5.3313329999999999</v>
      </c>
      <c r="N4" s="1">
        <v>4.3840000000000003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25">
      <c r="A5" s="1">
        <v>30</v>
      </c>
      <c r="B5" s="1">
        <v>30</v>
      </c>
      <c r="C5" s="1">
        <v>1</v>
      </c>
      <c r="D5" s="1">
        <v>900</v>
      </c>
      <c r="E5" s="1">
        <v>1</v>
      </c>
      <c r="F5" s="1">
        <v>435</v>
      </c>
      <c r="G5" s="1">
        <v>1</v>
      </c>
      <c r="H5" s="1">
        <v>30</v>
      </c>
      <c r="I5" s="1">
        <v>5.169333</v>
      </c>
      <c r="J5" s="1">
        <v>30</v>
      </c>
      <c r="K5" s="1">
        <v>5.1539999999999999</v>
      </c>
      <c r="L5" s="1">
        <v>29</v>
      </c>
      <c r="M5" s="1">
        <v>6.242667</v>
      </c>
      <c r="N5" s="1">
        <v>4.927333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25">
      <c r="A6" s="1">
        <v>40</v>
      </c>
      <c r="B6" s="1">
        <v>40</v>
      </c>
      <c r="C6" s="1">
        <v>1</v>
      </c>
      <c r="D6" s="1">
        <v>1600</v>
      </c>
      <c r="E6" s="1">
        <v>1</v>
      </c>
      <c r="F6" s="1">
        <v>780</v>
      </c>
      <c r="G6" s="1">
        <v>1</v>
      </c>
      <c r="H6" s="1">
        <v>40</v>
      </c>
      <c r="I6" s="1">
        <v>6.2306670000000004</v>
      </c>
      <c r="J6" s="1">
        <v>40</v>
      </c>
      <c r="K6" s="1">
        <v>6.2713330000000003</v>
      </c>
      <c r="L6" s="1">
        <v>39</v>
      </c>
      <c r="M6" s="1">
        <v>7.1120000000000001</v>
      </c>
      <c r="N6" s="1">
        <v>5.3833330000000004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25">
      <c r="A7" s="1">
        <v>50</v>
      </c>
      <c r="B7" s="1">
        <v>50</v>
      </c>
      <c r="C7" s="1">
        <v>1</v>
      </c>
      <c r="D7" s="1">
        <v>2500</v>
      </c>
      <c r="E7" s="1">
        <v>1</v>
      </c>
      <c r="F7" s="1">
        <v>1225</v>
      </c>
      <c r="G7" s="1">
        <v>1</v>
      </c>
      <c r="H7" s="1">
        <v>50</v>
      </c>
      <c r="I7" s="1">
        <v>7.1833330000000002</v>
      </c>
      <c r="J7" s="1">
        <v>50</v>
      </c>
      <c r="K7" s="1">
        <v>7.1873329999999997</v>
      </c>
      <c r="L7" s="1">
        <v>49</v>
      </c>
      <c r="M7" s="1">
        <v>7.6293329999999999</v>
      </c>
      <c r="N7" s="1">
        <v>5.7206669999999997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25">
      <c r="A8" s="1">
        <v>60</v>
      </c>
      <c r="B8" s="1">
        <v>60</v>
      </c>
      <c r="C8" s="1">
        <v>1</v>
      </c>
      <c r="D8" s="1">
        <v>3600</v>
      </c>
      <c r="E8" s="1">
        <v>1</v>
      </c>
      <c r="F8" s="1">
        <v>1770</v>
      </c>
      <c r="G8" s="1">
        <v>1</v>
      </c>
      <c r="H8" s="1">
        <v>60</v>
      </c>
      <c r="I8" s="1">
        <v>7.7713330000000003</v>
      </c>
      <c r="J8" s="1">
        <v>60</v>
      </c>
      <c r="K8" s="1">
        <v>7.8073329999999999</v>
      </c>
      <c r="L8" s="1">
        <v>59</v>
      </c>
      <c r="M8" s="1">
        <v>8.1513329999999993</v>
      </c>
      <c r="N8" s="1">
        <v>5.9340000000000002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25">
      <c r="A9" s="1">
        <v>70</v>
      </c>
      <c r="B9" s="1">
        <v>70</v>
      </c>
      <c r="C9" s="1">
        <v>1</v>
      </c>
      <c r="D9" s="1">
        <v>4900</v>
      </c>
      <c r="E9" s="1">
        <v>1</v>
      </c>
      <c r="F9" s="1">
        <v>2415</v>
      </c>
      <c r="G9" s="1">
        <v>1</v>
      </c>
      <c r="H9" s="1">
        <v>70</v>
      </c>
      <c r="I9" s="1">
        <v>8.9946669999999997</v>
      </c>
      <c r="J9" s="1">
        <v>70</v>
      </c>
      <c r="K9" s="1">
        <v>8.7433329999999998</v>
      </c>
      <c r="L9" s="1">
        <v>69</v>
      </c>
      <c r="M9" s="1">
        <v>8.4666669999999993</v>
      </c>
      <c r="N9" s="1">
        <v>6.1746670000000003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25">
      <c r="A10" s="1">
        <v>80</v>
      </c>
      <c r="B10" s="1">
        <v>80</v>
      </c>
      <c r="C10" s="1">
        <v>1</v>
      </c>
      <c r="D10" s="1">
        <v>6400</v>
      </c>
      <c r="E10" s="1">
        <v>1</v>
      </c>
      <c r="F10" s="1">
        <v>3160</v>
      </c>
      <c r="G10" s="1">
        <v>1</v>
      </c>
      <c r="H10" s="1">
        <v>80</v>
      </c>
      <c r="I10" s="1">
        <v>9.4406669999999995</v>
      </c>
      <c r="J10" s="1">
        <v>80</v>
      </c>
      <c r="K10" s="1">
        <v>9.4646670000000004</v>
      </c>
      <c r="L10" s="1">
        <v>79</v>
      </c>
      <c r="M10" s="1">
        <v>9.0386670000000002</v>
      </c>
      <c r="N10" s="1">
        <v>6.4093330000000002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25">
      <c r="A11" s="1">
        <v>90</v>
      </c>
      <c r="B11" s="1">
        <v>90</v>
      </c>
      <c r="C11" s="1">
        <v>1</v>
      </c>
      <c r="D11" s="1">
        <v>8100</v>
      </c>
      <c r="E11" s="1">
        <v>1</v>
      </c>
      <c r="F11" s="1">
        <v>4005</v>
      </c>
      <c r="G11" s="1">
        <v>1</v>
      </c>
      <c r="H11" s="1">
        <v>90</v>
      </c>
      <c r="I11" s="1">
        <v>10.25</v>
      </c>
      <c r="J11" s="1">
        <v>90</v>
      </c>
      <c r="K11" s="1">
        <v>9.9740000000000002</v>
      </c>
      <c r="L11" s="1">
        <v>89</v>
      </c>
      <c r="M11" s="1">
        <v>9.3053329999999992</v>
      </c>
      <c r="N11" s="1">
        <v>6.5966670000000001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x14ac:dyDescent="0.25">
      <c r="A12" s="1">
        <v>100</v>
      </c>
      <c r="B12" s="1">
        <v>100</v>
      </c>
      <c r="C12" s="1">
        <v>1</v>
      </c>
      <c r="D12" s="1">
        <v>10000</v>
      </c>
      <c r="E12" s="1">
        <v>1</v>
      </c>
      <c r="F12" s="1">
        <v>4950</v>
      </c>
      <c r="G12" s="1">
        <v>1</v>
      </c>
      <c r="H12" s="1">
        <v>100</v>
      </c>
      <c r="I12" s="1">
        <v>11.159333</v>
      </c>
      <c r="J12" s="1">
        <v>100</v>
      </c>
      <c r="K12" s="1">
        <v>11.098667000000001</v>
      </c>
      <c r="L12" s="1">
        <v>99</v>
      </c>
      <c r="M12" s="1">
        <v>9.6373329999999999</v>
      </c>
      <c r="N12" s="1">
        <v>6.6973330000000004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1:55" x14ac:dyDescent="0.25">
      <c r="A13" s="1">
        <v>110</v>
      </c>
      <c r="B13" s="1">
        <v>110</v>
      </c>
      <c r="C13" s="1">
        <v>1</v>
      </c>
      <c r="D13" s="1">
        <v>12100</v>
      </c>
      <c r="E13" s="1">
        <v>1</v>
      </c>
      <c r="F13" s="1">
        <v>5995</v>
      </c>
      <c r="G13" s="1">
        <v>1</v>
      </c>
      <c r="H13" s="1">
        <v>110</v>
      </c>
      <c r="I13" s="1">
        <v>11.273332999999999</v>
      </c>
      <c r="J13" s="1">
        <v>110</v>
      </c>
      <c r="K13" s="1">
        <v>11.414</v>
      </c>
      <c r="L13" s="1">
        <v>109</v>
      </c>
      <c r="M13" s="1">
        <v>9.81</v>
      </c>
      <c r="N13" s="1">
        <v>6.8246669999999998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1:55" x14ac:dyDescent="0.25">
      <c r="A14" s="1">
        <v>120</v>
      </c>
      <c r="B14" s="1">
        <v>120</v>
      </c>
      <c r="C14" s="1">
        <v>1</v>
      </c>
      <c r="D14" s="1">
        <v>14400</v>
      </c>
      <c r="E14" s="1">
        <v>1</v>
      </c>
      <c r="F14" s="1">
        <v>7140</v>
      </c>
      <c r="G14" s="1">
        <v>1</v>
      </c>
      <c r="H14" s="1">
        <v>120</v>
      </c>
      <c r="I14" s="1">
        <v>11.762</v>
      </c>
      <c r="J14" s="1">
        <v>120</v>
      </c>
      <c r="K14" s="1">
        <v>11.91</v>
      </c>
      <c r="L14" s="1">
        <v>119</v>
      </c>
      <c r="M14" s="1">
        <v>10.012</v>
      </c>
      <c r="N14" s="1">
        <v>6.9366669999999999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1:55" x14ac:dyDescent="0.25">
      <c r="A15" s="1">
        <v>130</v>
      </c>
      <c r="B15" s="1">
        <v>130</v>
      </c>
      <c r="C15" s="1">
        <v>1</v>
      </c>
      <c r="D15" s="1">
        <v>16900</v>
      </c>
      <c r="E15" s="1">
        <v>1</v>
      </c>
      <c r="F15" s="1">
        <v>8385</v>
      </c>
      <c r="G15" s="1">
        <v>1</v>
      </c>
      <c r="H15" s="1">
        <v>130</v>
      </c>
      <c r="I15" s="1">
        <v>12.455333</v>
      </c>
      <c r="J15" s="1">
        <v>130</v>
      </c>
      <c r="K15" s="1">
        <v>12.748666999999999</v>
      </c>
      <c r="L15" s="1">
        <v>129</v>
      </c>
      <c r="M15" s="1">
        <v>10.197333</v>
      </c>
      <c r="N15" s="1">
        <v>7.0279999999999996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1:55" x14ac:dyDescent="0.25">
      <c r="A16" s="1">
        <v>140</v>
      </c>
      <c r="B16" s="1">
        <v>140</v>
      </c>
      <c r="C16" s="1">
        <v>1</v>
      </c>
      <c r="D16" s="1">
        <v>19600</v>
      </c>
      <c r="E16" s="1">
        <v>1</v>
      </c>
      <c r="F16" s="1">
        <v>9730</v>
      </c>
      <c r="G16" s="1">
        <v>1</v>
      </c>
      <c r="H16" s="1">
        <v>140</v>
      </c>
      <c r="I16" s="1">
        <v>12.843332999999999</v>
      </c>
      <c r="J16" s="1">
        <v>140</v>
      </c>
      <c r="K16" s="1">
        <v>13.068</v>
      </c>
      <c r="L16" s="1">
        <v>139</v>
      </c>
      <c r="M16" s="1">
        <v>10.350667</v>
      </c>
      <c r="N16" s="1">
        <v>7.1766670000000001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1:55" x14ac:dyDescent="0.25">
      <c r="A17" s="1">
        <v>150</v>
      </c>
      <c r="B17" s="1">
        <v>150</v>
      </c>
      <c r="C17" s="1">
        <v>1</v>
      </c>
      <c r="D17" s="1">
        <v>22500</v>
      </c>
      <c r="E17" s="1">
        <v>1</v>
      </c>
      <c r="F17" s="1">
        <v>11175</v>
      </c>
      <c r="G17" s="1">
        <v>1</v>
      </c>
      <c r="H17" s="1">
        <v>150</v>
      </c>
      <c r="I17" s="1">
        <v>13.647333</v>
      </c>
      <c r="J17" s="1">
        <v>150</v>
      </c>
      <c r="K17" s="1">
        <v>13.779332999999999</v>
      </c>
      <c r="L17" s="1">
        <v>149</v>
      </c>
      <c r="M17" s="1">
        <v>10.605333</v>
      </c>
      <c r="N17" s="1">
        <v>7.2793330000000003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1:55" x14ac:dyDescent="0.25">
      <c r="A18" s="1">
        <v>160</v>
      </c>
      <c r="B18" s="1">
        <v>160</v>
      </c>
      <c r="C18" s="1">
        <v>1</v>
      </c>
      <c r="D18" s="1">
        <v>25600</v>
      </c>
      <c r="E18" s="1">
        <v>1</v>
      </c>
      <c r="F18" s="1">
        <v>12720</v>
      </c>
      <c r="G18" s="1">
        <v>1</v>
      </c>
      <c r="H18" s="1">
        <v>160</v>
      </c>
      <c r="I18" s="1">
        <v>13.971333</v>
      </c>
      <c r="J18" s="1">
        <v>160</v>
      </c>
      <c r="K18" s="1">
        <v>14.330667</v>
      </c>
      <c r="L18" s="1">
        <v>159</v>
      </c>
      <c r="M18" s="1">
        <v>10.992000000000001</v>
      </c>
      <c r="N18" s="1">
        <v>7.3659999999999997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1:55" x14ac:dyDescent="0.25">
      <c r="A19" s="1">
        <v>170</v>
      </c>
      <c r="B19" s="1">
        <v>170</v>
      </c>
      <c r="C19" s="1">
        <v>1</v>
      </c>
      <c r="D19" s="1">
        <v>28900</v>
      </c>
      <c r="E19" s="1">
        <v>1</v>
      </c>
      <c r="F19" s="1">
        <v>14365</v>
      </c>
      <c r="G19" s="1">
        <v>1</v>
      </c>
      <c r="H19" s="1">
        <v>170</v>
      </c>
      <c r="I19" s="1">
        <v>14.868667</v>
      </c>
      <c r="J19" s="1">
        <v>170</v>
      </c>
      <c r="K19" s="1">
        <v>14.877333</v>
      </c>
      <c r="L19" s="1">
        <v>169</v>
      </c>
      <c r="M19" s="1">
        <v>11.03</v>
      </c>
      <c r="N19" s="1">
        <v>7.4933329999999998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x14ac:dyDescent="0.25">
      <c r="A20" s="1">
        <v>180</v>
      </c>
      <c r="B20" s="1">
        <v>180</v>
      </c>
      <c r="C20" s="1">
        <v>1</v>
      </c>
      <c r="D20" s="1">
        <v>32400</v>
      </c>
      <c r="E20" s="1">
        <v>1</v>
      </c>
      <c r="F20" s="1">
        <v>16110</v>
      </c>
      <c r="G20" s="1">
        <v>1</v>
      </c>
      <c r="H20" s="1">
        <v>180</v>
      </c>
      <c r="I20" s="1">
        <v>15.447333</v>
      </c>
      <c r="J20" s="1">
        <v>180</v>
      </c>
      <c r="K20" s="1">
        <v>15.462</v>
      </c>
      <c r="L20" s="1">
        <v>179</v>
      </c>
      <c r="M20" s="1">
        <v>11.227333</v>
      </c>
      <c r="N20" s="1">
        <v>7.5780000000000003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1:55" x14ac:dyDescent="0.25">
      <c r="A21" s="1">
        <v>190</v>
      </c>
      <c r="B21" s="1">
        <v>190</v>
      </c>
      <c r="C21" s="1">
        <v>1</v>
      </c>
      <c r="D21" s="1">
        <v>36100</v>
      </c>
      <c r="E21" s="1">
        <v>1</v>
      </c>
      <c r="F21" s="1">
        <v>17955</v>
      </c>
      <c r="G21" s="1">
        <v>1</v>
      </c>
      <c r="H21" s="1">
        <v>190</v>
      </c>
      <c r="I21" s="1">
        <v>15.185333</v>
      </c>
      <c r="J21" s="1">
        <v>190</v>
      </c>
      <c r="K21" s="1">
        <v>15.44</v>
      </c>
      <c r="L21" s="1">
        <v>189</v>
      </c>
      <c r="M21" s="1">
        <v>11.472</v>
      </c>
      <c r="N21" s="1">
        <v>7.6833330000000002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1:55" x14ac:dyDescent="0.25">
      <c r="A22" s="1">
        <v>200</v>
      </c>
      <c r="B22" s="1">
        <v>200</v>
      </c>
      <c r="C22" s="1">
        <v>1</v>
      </c>
      <c r="D22" s="1">
        <v>40000</v>
      </c>
      <c r="E22" s="1">
        <v>1</v>
      </c>
      <c r="F22" s="1">
        <v>19900</v>
      </c>
      <c r="G22" s="1">
        <v>1</v>
      </c>
      <c r="H22" s="1">
        <v>200</v>
      </c>
      <c r="I22" s="1">
        <v>16.324667000000002</v>
      </c>
      <c r="J22" s="1">
        <v>200</v>
      </c>
      <c r="K22" s="1">
        <v>16.194666999999999</v>
      </c>
      <c r="L22" s="1">
        <v>199</v>
      </c>
      <c r="M22" s="1">
        <v>11.465999999999999</v>
      </c>
      <c r="N22" s="1">
        <v>7.7113329999999998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1:55" ht="28.5" customHeight="1" x14ac:dyDescent="0.3">
      <c r="A23" s="7" t="s">
        <v>14</v>
      </c>
      <c r="B23" s="8" t="s">
        <v>15</v>
      </c>
      <c r="C23" s="8" t="s">
        <v>16</v>
      </c>
      <c r="D23" s="8" t="s">
        <v>17</v>
      </c>
      <c r="E23" s="8" t="s">
        <v>16</v>
      </c>
      <c r="F23" s="8" t="s">
        <v>17</v>
      </c>
      <c r="G23" s="8" t="s">
        <v>16</v>
      </c>
      <c r="H23" s="8" t="s">
        <v>15</v>
      </c>
      <c r="I23" s="8" t="s">
        <v>18</v>
      </c>
      <c r="J23" s="8" t="s">
        <v>15</v>
      </c>
      <c r="K23" s="8" t="s">
        <v>18</v>
      </c>
      <c r="L23" s="8" t="s">
        <v>15</v>
      </c>
      <c r="M23" s="8" t="s">
        <v>19</v>
      </c>
      <c r="N23" s="8" t="s">
        <v>19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1:5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pans="1:5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1:5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1:5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5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1:55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1:55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1:5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spans="1:5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spans="1:5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spans="1:5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1:5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spans="1:5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spans="1:5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spans="1:5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spans="1:5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spans="1:5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spans="1:5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spans="1:5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spans="1:5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spans="1:5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spans="1:5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spans="1:5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spans="1:5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spans="1:5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spans="1:5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spans="1:5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spans="1:5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spans="1:5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spans="1:5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spans="1:5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spans="1:5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spans="1:5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spans="1:5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spans="1:5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spans="1:5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spans="1:5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spans="1:5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spans="1:5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spans="1:5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spans="1:5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spans="1:5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spans="1:5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spans="1:5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spans="1:5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spans="1:5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spans="1:5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spans="1:5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spans="1:5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spans="1:5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spans="1:5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spans="1:5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spans="1:5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spans="1:5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spans="1:5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spans="1:5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spans="1:5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spans="1:5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spans="1:5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spans="1:5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spans="1:5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spans="1:5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spans="1:5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spans="1:5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spans="1:5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spans="1:5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spans="1:5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spans="1:5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spans="1:5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spans="1:5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spans="1:5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spans="1:5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spans="1:5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spans="1:5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spans="1:5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spans="1:5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spans="1:5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spans="1:5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spans="1:5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spans="1:5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spans="1:5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spans="1:5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spans="1:5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spans="1:5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spans="1:5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spans="1:5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spans="1:5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spans="1:5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spans="1:5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spans="1:5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spans="1:5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spans="1:5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spans="1:5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spans="1:5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spans="1:5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spans="1:5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spans="1:5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spans="1:5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spans="1:5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spans="1:5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spans="1:5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spans="1:5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spans="1:5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spans="1:5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spans="1:5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spans="1:5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spans="1:5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spans="1:5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spans="1:5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spans="1:5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spans="1:5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spans="1:5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spans="1:5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spans="1:5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spans="1:5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spans="1:5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spans="1:5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spans="1:5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spans="1:5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spans="1:5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spans="1:5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spans="1:5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spans="1:5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spans="1:5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spans="1:5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spans="1:5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spans="1:5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spans="1:5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spans="1:5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spans="1:5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spans="1:5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spans="1:5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spans="1:5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spans="1:5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spans="1:5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spans="1:5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spans="1:55" x14ac:dyDescent="0.25"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spans="1:55" x14ac:dyDescent="0.25"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spans="5:55" x14ac:dyDescent="0.25"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spans="5:55" x14ac:dyDescent="0.25"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spans="5:55" x14ac:dyDescent="0.25"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spans="5:55" x14ac:dyDescent="0.25"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spans="5:55" x14ac:dyDescent="0.25"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spans="5:55" x14ac:dyDescent="0.25"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0107-816A-4B7D-AABC-E12689348FA6}">
  <dimension ref="A1:F23"/>
  <sheetViews>
    <sheetView zoomScale="70" zoomScaleNormal="70" workbookViewId="0">
      <selection activeCell="M42" sqref="M42"/>
    </sheetView>
  </sheetViews>
  <sheetFormatPr defaultRowHeight="15" x14ac:dyDescent="0.25"/>
  <cols>
    <col min="1" max="1" width="22.140625" bestFit="1" customWidth="1"/>
    <col min="2" max="2" width="13.85546875" bestFit="1" customWidth="1"/>
    <col min="3" max="3" width="16.140625" bestFit="1" customWidth="1"/>
    <col min="4" max="4" width="21.140625" bestFit="1" customWidth="1"/>
    <col min="5" max="5" width="19.5703125" customWidth="1"/>
    <col min="6" max="6" width="19.85546875" bestFit="1" customWidth="1"/>
    <col min="8" max="8" width="23.7109375" bestFit="1" customWidth="1"/>
    <col min="9" max="9" width="22.28515625" bestFit="1" customWidth="1"/>
    <col min="10" max="10" width="18.5703125" bestFit="1" customWidth="1"/>
    <col min="12" max="12" width="18.5703125" bestFit="1" customWidth="1"/>
  </cols>
  <sheetData>
    <row r="1" spans="1:6" ht="18.75" x14ac:dyDescent="0.3">
      <c r="A1" s="6" t="s">
        <v>0</v>
      </c>
      <c r="B1" s="8" t="s">
        <v>16</v>
      </c>
      <c r="C1" s="8" t="s">
        <v>19</v>
      </c>
      <c r="D1" s="8" t="s">
        <v>18</v>
      </c>
      <c r="E1" s="8" t="s">
        <v>15</v>
      </c>
      <c r="F1" s="8" t="s">
        <v>17</v>
      </c>
    </row>
    <row r="2" spans="1:6" x14ac:dyDescent="0.25">
      <c r="A2" s="3"/>
      <c r="B2" s="4"/>
      <c r="C2" s="4"/>
      <c r="D2" s="4"/>
      <c r="E2" s="4"/>
      <c r="F2" s="4"/>
    </row>
    <row r="3" spans="1:6" x14ac:dyDescent="0.25">
      <c r="A3" s="1">
        <v>10</v>
      </c>
      <c r="B3" s="1">
        <v>1</v>
      </c>
      <c r="C3" s="9">
        <f>LOG(A3, 2)</f>
        <v>3.3219280948873626</v>
      </c>
      <c r="D3" s="9">
        <f>SQRT(A3)</f>
        <v>3.1622776601683795</v>
      </c>
      <c r="E3" s="1">
        <v>10</v>
      </c>
      <c r="F3" s="1">
        <f>A3*A3</f>
        <v>100</v>
      </c>
    </row>
    <row r="4" spans="1:6" x14ac:dyDescent="0.25">
      <c r="A4" s="1">
        <v>20</v>
      </c>
      <c r="B4" s="1">
        <v>1</v>
      </c>
      <c r="C4" s="9">
        <f t="shared" ref="C4:C22" si="0">LOG(A4, 2)</f>
        <v>4.3219280948873626</v>
      </c>
      <c r="D4" s="9">
        <f t="shared" ref="D4:D22" si="1">SQRT(A4)</f>
        <v>4.4721359549995796</v>
      </c>
      <c r="E4" s="1">
        <v>20</v>
      </c>
      <c r="F4" s="1">
        <f t="shared" ref="F4:F22" si="2">A4*A4</f>
        <v>400</v>
      </c>
    </row>
    <row r="5" spans="1:6" x14ac:dyDescent="0.25">
      <c r="A5" s="1">
        <v>30</v>
      </c>
      <c r="B5" s="1">
        <v>1</v>
      </c>
      <c r="C5" s="9">
        <f t="shared" si="0"/>
        <v>4.9068905956085187</v>
      </c>
      <c r="D5" s="9">
        <f t="shared" si="1"/>
        <v>5.4772255750516612</v>
      </c>
      <c r="E5" s="1">
        <v>30</v>
      </c>
      <c r="F5" s="1">
        <f t="shared" si="2"/>
        <v>900</v>
      </c>
    </row>
    <row r="6" spans="1:6" x14ac:dyDescent="0.25">
      <c r="A6" s="1">
        <v>40</v>
      </c>
      <c r="B6" s="1">
        <v>1</v>
      </c>
      <c r="C6" s="9">
        <f t="shared" si="0"/>
        <v>5.3219280948873626</v>
      </c>
      <c r="D6" s="9">
        <f t="shared" si="1"/>
        <v>6.324555320336759</v>
      </c>
      <c r="E6" s="1">
        <v>40</v>
      </c>
      <c r="F6" s="1">
        <f t="shared" si="2"/>
        <v>1600</v>
      </c>
    </row>
    <row r="7" spans="1:6" x14ac:dyDescent="0.25">
      <c r="A7" s="1">
        <v>50</v>
      </c>
      <c r="B7" s="1">
        <v>1</v>
      </c>
      <c r="C7" s="9">
        <f t="shared" si="0"/>
        <v>5.6438561897747244</v>
      </c>
      <c r="D7" s="9">
        <f t="shared" si="1"/>
        <v>7.0710678118654755</v>
      </c>
      <c r="E7" s="1">
        <v>50</v>
      </c>
      <c r="F7" s="1">
        <f t="shared" si="2"/>
        <v>2500</v>
      </c>
    </row>
    <row r="8" spans="1:6" x14ac:dyDescent="0.25">
      <c r="A8" s="1">
        <v>60</v>
      </c>
      <c r="B8" s="1">
        <v>1</v>
      </c>
      <c r="C8" s="9">
        <f t="shared" si="0"/>
        <v>5.9068905956085187</v>
      </c>
      <c r="D8" s="9">
        <f t="shared" si="1"/>
        <v>7.745966692414834</v>
      </c>
      <c r="E8" s="1">
        <v>60</v>
      </c>
      <c r="F8" s="1">
        <f t="shared" si="2"/>
        <v>3600</v>
      </c>
    </row>
    <row r="9" spans="1:6" x14ac:dyDescent="0.25">
      <c r="A9" s="1">
        <v>70</v>
      </c>
      <c r="B9" s="1">
        <v>1</v>
      </c>
      <c r="C9" s="9">
        <f t="shared" si="0"/>
        <v>6.1292830169449672</v>
      </c>
      <c r="D9" s="9">
        <f t="shared" si="1"/>
        <v>8.3666002653407556</v>
      </c>
      <c r="E9" s="1">
        <v>70</v>
      </c>
      <c r="F9" s="1">
        <f t="shared" si="2"/>
        <v>4900</v>
      </c>
    </row>
    <row r="10" spans="1:6" x14ac:dyDescent="0.25">
      <c r="A10" s="1">
        <v>80</v>
      </c>
      <c r="B10" s="1">
        <v>1</v>
      </c>
      <c r="C10" s="9">
        <f t="shared" si="0"/>
        <v>6.3219280948873617</v>
      </c>
      <c r="D10" s="9">
        <f t="shared" si="1"/>
        <v>8.9442719099991592</v>
      </c>
      <c r="E10" s="1">
        <v>80</v>
      </c>
      <c r="F10" s="1">
        <f t="shared" si="2"/>
        <v>6400</v>
      </c>
    </row>
    <row r="11" spans="1:6" x14ac:dyDescent="0.25">
      <c r="A11" s="1">
        <v>90</v>
      </c>
      <c r="B11" s="1">
        <v>1</v>
      </c>
      <c r="C11" s="9">
        <f t="shared" si="0"/>
        <v>6.4918530963296748</v>
      </c>
      <c r="D11" s="9">
        <f t="shared" si="1"/>
        <v>9.4868329805051381</v>
      </c>
      <c r="E11" s="1">
        <v>90</v>
      </c>
      <c r="F11" s="1">
        <f t="shared" si="2"/>
        <v>8100</v>
      </c>
    </row>
    <row r="12" spans="1:6" x14ac:dyDescent="0.25">
      <c r="A12" s="1">
        <v>100</v>
      </c>
      <c r="B12" s="1">
        <v>1</v>
      </c>
      <c r="C12" s="9">
        <f t="shared" si="0"/>
        <v>6.6438561897747253</v>
      </c>
      <c r="D12" s="9">
        <f t="shared" si="1"/>
        <v>10</v>
      </c>
      <c r="E12" s="1">
        <v>100</v>
      </c>
      <c r="F12" s="1">
        <f t="shared" si="2"/>
        <v>10000</v>
      </c>
    </row>
    <row r="13" spans="1:6" x14ac:dyDescent="0.25">
      <c r="A13" s="1">
        <v>110</v>
      </c>
      <c r="B13" s="1">
        <v>1</v>
      </c>
      <c r="C13" s="9">
        <f t="shared" si="0"/>
        <v>6.7813597135246599</v>
      </c>
      <c r="D13" s="9">
        <f t="shared" si="1"/>
        <v>10.488088481701515</v>
      </c>
      <c r="E13" s="1">
        <v>110</v>
      </c>
      <c r="F13" s="1">
        <f t="shared" si="2"/>
        <v>12100</v>
      </c>
    </row>
    <row r="14" spans="1:6" x14ac:dyDescent="0.25">
      <c r="A14" s="1">
        <v>120</v>
      </c>
      <c r="B14" s="1">
        <v>1</v>
      </c>
      <c r="C14" s="9">
        <f t="shared" si="0"/>
        <v>6.9068905956085187</v>
      </c>
      <c r="D14" s="9">
        <f t="shared" si="1"/>
        <v>10.954451150103322</v>
      </c>
      <c r="E14" s="1">
        <v>120</v>
      </c>
      <c r="F14" s="1">
        <f t="shared" si="2"/>
        <v>14400</v>
      </c>
    </row>
    <row r="15" spans="1:6" x14ac:dyDescent="0.25">
      <c r="A15" s="1">
        <v>130</v>
      </c>
      <c r="B15" s="1">
        <v>1</v>
      </c>
      <c r="C15" s="9">
        <f t="shared" si="0"/>
        <v>7.0223678130284544</v>
      </c>
      <c r="D15" s="9">
        <f t="shared" si="1"/>
        <v>11.401754250991379</v>
      </c>
      <c r="E15" s="1">
        <v>130</v>
      </c>
      <c r="F15" s="1">
        <f t="shared" si="2"/>
        <v>16900</v>
      </c>
    </row>
    <row r="16" spans="1:6" x14ac:dyDescent="0.25">
      <c r="A16" s="1">
        <v>140</v>
      </c>
      <c r="B16" s="1">
        <v>1</v>
      </c>
      <c r="C16" s="9">
        <f t="shared" si="0"/>
        <v>7.1292830169449664</v>
      </c>
      <c r="D16" s="9">
        <f t="shared" si="1"/>
        <v>11.832159566199232</v>
      </c>
      <c r="E16" s="1">
        <v>140</v>
      </c>
      <c r="F16" s="1">
        <f t="shared" si="2"/>
        <v>19600</v>
      </c>
    </row>
    <row r="17" spans="1:6" x14ac:dyDescent="0.25">
      <c r="A17" s="1">
        <v>150</v>
      </c>
      <c r="B17" s="1">
        <v>1</v>
      </c>
      <c r="C17" s="9">
        <f t="shared" si="0"/>
        <v>7.2288186904958804</v>
      </c>
      <c r="D17" s="9">
        <f t="shared" si="1"/>
        <v>12.24744871391589</v>
      </c>
      <c r="E17" s="1">
        <v>150</v>
      </c>
      <c r="F17" s="1">
        <f t="shared" si="2"/>
        <v>22500</v>
      </c>
    </row>
    <row r="18" spans="1:6" x14ac:dyDescent="0.25">
      <c r="A18" s="1">
        <v>160</v>
      </c>
      <c r="B18" s="1">
        <v>1</v>
      </c>
      <c r="C18" s="9">
        <f t="shared" si="0"/>
        <v>7.3219280948873617</v>
      </c>
      <c r="D18" s="9">
        <f t="shared" si="1"/>
        <v>12.649110640673518</v>
      </c>
      <c r="E18" s="1">
        <v>160</v>
      </c>
      <c r="F18" s="1">
        <f t="shared" si="2"/>
        <v>25600</v>
      </c>
    </row>
    <row r="19" spans="1:6" x14ac:dyDescent="0.25">
      <c r="A19" s="1">
        <v>170</v>
      </c>
      <c r="B19" s="1">
        <v>1</v>
      </c>
      <c r="C19" s="9">
        <f t="shared" si="0"/>
        <v>7.4093909361377026</v>
      </c>
      <c r="D19" s="9">
        <f t="shared" si="1"/>
        <v>13.038404810405298</v>
      </c>
      <c r="E19" s="1">
        <v>170</v>
      </c>
      <c r="F19" s="1">
        <f t="shared" si="2"/>
        <v>28900</v>
      </c>
    </row>
    <row r="20" spans="1:6" x14ac:dyDescent="0.25">
      <c r="A20" s="1">
        <v>180</v>
      </c>
      <c r="B20" s="1">
        <v>1</v>
      </c>
      <c r="C20" s="9">
        <f t="shared" si="0"/>
        <v>7.4918530963296748</v>
      </c>
      <c r="D20" s="9">
        <f t="shared" si="1"/>
        <v>13.416407864998739</v>
      </c>
      <c r="E20" s="1">
        <v>180</v>
      </c>
      <c r="F20" s="1">
        <f t="shared" si="2"/>
        <v>32400</v>
      </c>
    </row>
    <row r="21" spans="1:6" x14ac:dyDescent="0.25">
      <c r="A21" s="1">
        <v>190</v>
      </c>
      <c r="B21" s="1">
        <v>1</v>
      </c>
      <c r="C21" s="9">
        <f t="shared" si="0"/>
        <v>7.5698556083309478</v>
      </c>
      <c r="D21" s="9">
        <f t="shared" si="1"/>
        <v>13.784048752090222</v>
      </c>
      <c r="E21" s="1">
        <v>190</v>
      </c>
      <c r="F21" s="1">
        <f t="shared" si="2"/>
        <v>36100</v>
      </c>
    </row>
    <row r="22" spans="1:6" x14ac:dyDescent="0.25">
      <c r="A22" s="1">
        <v>200</v>
      </c>
      <c r="B22" s="1">
        <v>1</v>
      </c>
      <c r="C22" s="9">
        <f t="shared" si="0"/>
        <v>7.6438561897747244</v>
      </c>
      <c r="D22" s="9">
        <f t="shared" si="1"/>
        <v>14.142135623730951</v>
      </c>
      <c r="E22" s="1">
        <v>200</v>
      </c>
      <c r="F22" s="1">
        <f t="shared" si="2"/>
        <v>40000</v>
      </c>
    </row>
    <row r="23" spans="1:6" ht="30" x14ac:dyDescent="0.25">
      <c r="A23" s="7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lab3_results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sanic</dc:creator>
  <cp:lastModifiedBy>sanic.errorink@gmail.com</cp:lastModifiedBy>
  <dcterms:created xsi:type="dcterms:W3CDTF">2026-06-14T21:20:57Z</dcterms:created>
  <dcterms:modified xsi:type="dcterms:W3CDTF">2026-06-14T21:57:55Z</dcterms:modified>
</cp:coreProperties>
</file>